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4e9669e9545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7bcae12e6ff46c1"/>
    <x:sheet xmlns:r="http://schemas.openxmlformats.org/officeDocument/2006/relationships" name="Conciliados" sheetId="2" r:id="R9db4a4617f6a45a7"/>
    <x:sheet xmlns:r="http://schemas.openxmlformats.org/officeDocument/2006/relationships" name="A receber" sheetId="3" r:id="Rb0d95a120e474119"/>
    <x:sheet xmlns:r="http://schemas.openxmlformats.org/officeDocument/2006/relationships" name="Creditos sem Shein" sheetId="4" r:id="R4b11be9987064532"/>
    <x:sheet xmlns:r="http://schemas.openxmlformats.org/officeDocument/2006/relationships" name="Relatorio Shein" sheetId="5" r:id="R85c629868e6d46c3"/>
    <x:sheet xmlns:r="http://schemas.openxmlformats.org/officeDocument/2006/relationships" name="Creditos bancarios" sheetId="6" r:id="Rb17404c246af4c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yyyy-mm-dd hh:mm"/>
    <x:numFmt numFmtId="202" formatCode="yyyy-mm-dd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92400E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166534"/>
      </x:patternFill>
    </x:fill>
    <x:fill>
      <x:patternFill patternType="solid">
        <x:fgColor rgb="FF92400E"/>
      </x:patternFill>
    </x:fill>
    <x:fill>
      <x:patternFill patternType="solid">
        <x:fgColor rgb="FF991B1B"/>
      </x:patternFill>
    </x:fill>
    <x:fill>
      <x:patternFill patternType="solid">
        <x:fgColor rgb="FF1D4ED8"/>
      </x:patternFill>
    </x:fill>
    <x:fill>
      <x:patternFill patternType="solid">
        <x:fgColor rgb="FF374151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202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201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202" fontId="0" fillId="0" borderId="3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26a4940cc246fe" /><Relationship Type="http://schemas.openxmlformats.org/officeDocument/2006/relationships/theme" Target="/xl/theme/theme1.xml" Id="R3e7c17c0ac1e429a" /><Relationship Type="http://schemas.openxmlformats.org/officeDocument/2006/relationships/sharedStrings" Target="/xl/sharedStrings.xml" Id="R42c28dc1100d40a2" /><Relationship Type="http://schemas.openxmlformats.org/officeDocument/2006/relationships/worksheet" Target="/xl/worksheets/sheet1.xml" Id="Rf7bcae12e6ff46c1" /><Relationship Type="http://schemas.openxmlformats.org/officeDocument/2006/relationships/worksheet" Target="/xl/worksheets/sheet2.xml" Id="R9db4a4617f6a45a7" /><Relationship Type="http://schemas.openxmlformats.org/officeDocument/2006/relationships/worksheet" Target="/xl/worksheets/sheet3.xml" Id="Rb0d95a120e474119" /><Relationship Type="http://schemas.openxmlformats.org/officeDocument/2006/relationships/worksheet" Target="/xl/worksheets/sheet4.xml" Id="R4b11be9987064532" /><Relationship Type="http://schemas.openxmlformats.org/officeDocument/2006/relationships/worksheet" Target="/xl/worksheets/sheet5.xml" Id="R85c629868e6d46c3" /><Relationship Type="http://schemas.openxmlformats.org/officeDocument/2006/relationships/worksheet" Target="/xl/worksheets/sheet6.xml" Id="Rb17404c246af4c7d" /></Relationships>
</file>

<file path=xl/tables/table1.xml><?xml version="1.0" encoding="utf-8"?>
<x:table xmlns:x="http://schemas.openxmlformats.org/spreadsheetml/2006/main" id="1" name="ConciliadosTable" displayName="ConciliadosTable" ref="A1:M2" headerRowCount="1" totalsRowCount="0" totalsRowShown="0">
  <x:tableColumns count="13">
    <x:tableColumn id="1" name="Pedido Shein"/>
    <x:tableColumn id="2" name="Grupo retirada"/>
    <x:tableColumn id="3" name="Tempo retirada"/>
    <x:tableColumn id="4" name="Tempo sucesso"/>
    <x:tableColumn id="5" name="Valor Shein"/>
    <x:tableColumn id="6" name="Data banco"/>
    <x:tableColumn id="7" name="Lancamento banco"/>
    <x:tableColumn id="8" name="Documento banco"/>
    <x:tableColumn id="9" name="Detalhe banco"/>
    <x:tableColumn id="10" name="Credito banco"/>
    <x:tableColumn id="11" name="Diferenca"/>
    <x:tableColumn id="12" name="Dias"/>
    <x:tableColumn id="13" name="Situaca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eceberTable" displayName="AreceberTable" ref="A1:G5" headerRowCount="1" totalsRowCount="0" totalsRowShown="0">
  <x:tableColumns count="7">
    <x:tableColumn id="1" name="Pedido Shein"/>
    <x:tableColumn id="2" name="Grupo retirada"/>
    <x:tableColumn id="3" name="Tempo retirada"/>
    <x:tableColumn id="4" name="Tempo sucesso"/>
    <x:tableColumn id="5" name="Status Shein"/>
    <x:tableColumn id="6" name="Valor Shein"/>
    <x:tableColumn id="7" name="Situac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editossemSheinTable" displayName="CreditossemSheinTable" ref="A1:H9" headerRowCount="1" totalsRowCount="0" totalsRowShown="0">
  <x:tableColumns count="8">
    <x:tableColumn id="1" name="Data banco"/>
    <x:tableColumn id="2" name="Documento"/>
    <x:tableColumn id="3" name="Lancamento"/>
    <x:tableColumn id="4" name="Detalhe"/>
    <x:tableColumn id="5" name="Credito"/>
    <x:tableColumn id="6" name="Saldo apos"/>
    <x:tableColumn id="7" name="Situacao"/>
    <x:tableColumn id="8" name="Linha origin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atorioSheinTable" displayName="RelatorioSheinTable" ref="A1:I6" headerRowCount="1" totalsRowCount="0" totalsRowShown="0">
  <x:tableColumns count="9">
    <x:tableColumn id="1" name="Pedido Shein"/>
    <x:tableColumn id="2" name="Grupo retirada"/>
    <x:tableColumn id="3" name="Tempo retirada"/>
    <x:tableColumn id="4" name="Tempo sucesso"/>
    <x:tableColumn id="5" name="Status"/>
    <x:tableColumn id="6" name="Valor recebido"/>
    <x:tableColumn id="7" name="Valor liquido"/>
    <x:tableColumn id="8" name="Taxa"/>
    <x:tableColumn id="9" name="Moed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reditosbancariosTable" displayName="CreditosbancariosTable" ref="A1:G10" headerRowCount="1" totalsRowCount="0" totalsRowShown="0">
  <x:tableColumns count="7">
    <x:tableColumn id="1" name="Data"/>
    <x:tableColumn id="2" name="Documento"/>
    <x:tableColumn id="3" name="Lancamento"/>
    <x:tableColumn id="4" name="Detalhe"/>
    <x:tableColumn id="5" name="Credito"/>
    <x:tableColumn id="6" name="Saldo apos"/>
    <x:tableColumn id="7" name="Linha orig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757bb2345e4d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39a280fd424a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e552c3373343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0963b3f2e94c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6e3440427745f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0" hidden="0" customWidth="1"/>
  </x:cols>
  <x:sheetData>
    <x:row r="1">
      <x:c r="A1" s="2" t="str">
        <x:v>Relatorio de Conciliacao Shein x Bradesco - 28/07/2026</x:v>
      </x:c>
    </x:row>
    <x:row r="3">
      <x:c r="A3" s="4" t="str">
        <x:v>Criterio</x:v>
      </x:c>
      <x:c r="B3" t="str">
        <x:v>Conciliacao por valor exato entre item de retirada Shein e credito bancario</x:v>
      </x:c>
    </x:row>
    <x:row r="4">
      <x:c r="A4" s="4" t="str">
        <x:v>Itens Shein no relatorio</x:v>
      </x:c>
      <x:c r="B4" t="n">
        <x:f>COUNTA('Relatorio Shein'!A2:A6)</x:f>
        <x:v>5</x:v>
      </x:c>
    </x:row>
    <x:row r="5">
      <x:c r="A5" s="4" t="str">
        <x:v>Total Shein no relatorio</x:v>
      </x:c>
      <x:c r="B5" s="5" t="n">
        <x:f>SUM('Relatorio Shein'!F2:F6)</x:f>
        <x:v>7988.81</x:v>
      </x:c>
    </x:row>
    <x:row r="6">
      <x:c r="A6" s="4" t="str">
        <x:v>Itens recebidos/conciliados</x:v>
      </x:c>
      <x:c r="B6" s="5" t="n">
        <x:f>COUNTA(Conciliados!A2:A2)</x:f>
        <x:v>1</x:v>
      </x:c>
    </x:row>
    <x:row r="7">
      <x:c r="A7" s="4" t="str">
        <x:v>Total recebido/conciliado</x:v>
      </x:c>
      <x:c r="B7" s="5" t="n">
        <x:f>SUM(Conciliados!E2:E2)</x:f>
        <x:v>5072.99</x:v>
      </x:c>
    </x:row>
    <x:row r="8">
      <x:c r="A8" s="4" t="str">
        <x:v>Itens a receber</x:v>
      </x:c>
      <x:c r="B8" s="5" t="n">
        <x:f>COUNTA('A receber'!A2:A5)</x:f>
        <x:v>4</x:v>
      </x:c>
    </x:row>
    <x:row r="9">
      <x:c r="A9" s="4" t="str">
        <x:v>Total a receber</x:v>
      </x:c>
      <x:c r="B9" s="5" t="n">
        <x:f>SUM('A receber'!F2:F5)</x:f>
        <x:v>2915.82</x:v>
      </x:c>
    </x:row>
    <x:row r="10">
      <x:c r="A10" s="4" t="str">
        <x:v>Creditos bancarios analisados</x:v>
      </x:c>
      <x:c r="B10" t="n">
        <x:f>COUNTA('Creditos bancarios'!A2:A10)</x:f>
        <x:v>8</x:v>
      </x:c>
    </x:row>
    <x:row r="12">
      <x:c r="A12" s="8" t="str">
        <x:v>Conclusao: foi localizado 1 recebimento da Shein no extrato, no valor de R$ 5.072,99. Permanecem 4 itens a receber, somando R$ 2.915,82.</x:v>
      </x:c>
    </x:row>
  </x:sheetData>
  <x:mergeCells>
    <x:mergeCell ref="A1:F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4.4399995803833" hidden="0" customWidth="1"/>
    <x:col min="4" max="4" width="14.890000343322754" hidden="0" customWidth="1"/>
    <x:col min="5" max="5" width="11.4399995803833" hidden="0" customWidth="1"/>
    <x:col min="6" max="6" width="11.670000076293945" hidden="0" customWidth="1"/>
    <x:col min="7" max="7" width="26" hidden="0" customWidth="1"/>
    <x:col min="8" max="8" width="17.110000610351562" hidden="0" customWidth="1"/>
    <x:col min="9" max="9" width="34" hidden="0" customWidth="1"/>
    <x:col min="10" max="10" width="13.779999732971191" hidden="0" customWidth="1"/>
    <x:col min="11" max="11" width="10.220000267028809" hidden="0" customWidth="1"/>
    <x:col min="12" max="12" width="6.110000133514404" hidden="0" customWidth="1"/>
    <x:col min="13" max="13" width="26" hidden="0" customWidth="1"/>
  </x:cols>
  <x:sheetData>
    <x:row r="1" ht="15" hidden="0" customHeight="1">
      <x:c r="A1" s="12" t="str">
        <x:v>Pedido Shein</x:v>
      </x:c>
      <x:c r="B1" s="12" t="str">
        <x:v>Grupo retirada</x:v>
      </x:c>
      <x:c r="C1" s="12" t="str">
        <x:v>Tempo retirada</x:v>
      </x:c>
      <x:c r="D1" s="12" t="str">
        <x:v>Tempo sucesso</x:v>
      </x:c>
      <x:c r="E1" s="12" t="str">
        <x:v>Valor Shein</x:v>
      </x:c>
      <x:c r="F1" s="12" t="str">
        <x:v>Data banco</x:v>
      </x:c>
      <x:c r="G1" s="12" t="str">
        <x:v>Lancamento banco</x:v>
      </x:c>
      <x:c r="H1" s="12" t="str">
        <x:v>Documento banco</x:v>
      </x:c>
      <x:c r="I1" s="12" t="str">
        <x:v>Detalhe banco</x:v>
      </x:c>
      <x:c r="J1" s="12" t="str">
        <x:v>Credito banco</x:v>
      </x:c>
      <x:c r="K1" s="12" t="str">
        <x:v>Diferenca</x:v>
      </x:c>
      <x:c r="L1" s="12" t="str">
        <x:v>Dias</x:v>
      </x:c>
      <x:c r="M1" s="12" t="str">
        <x:v>Situacao</x:v>
      </x:c>
    </x:row>
    <x:row r="2" ht="15" hidden="0" customHeight="1">
      <x:c r="A2" s="13" t="str">
        <x:v>CW2607273174597787658</x:v>
      </x:c>
      <x:c r="B2" s="13" t="str">
        <x:v>W2607273174598295554</x:v>
      </x:c>
      <x:c r="C2" s="14" t="n">
        <x:v>46230.21417824074</x:v>
      </x:c>
      <x:c r="D2" s="14" t="n">
        <x:v>46230.496145833335</x:v>
      </x:c>
      <x:c r="E2" s="15" t="n">
        <x:v>5072.99</x:v>
      </x:c>
      <x:c r="F2" s="16" t="n">
        <x:v>46230</x:v>
      </x:c>
      <x:c r="G2" s="13" t="str">
        <x:v>TED-TRANSF ELET DISPON</x:v>
      </x:c>
      <x:c r="H2" s="13" t="str">
        <x:v>2563218</x:v>
      </x:c>
      <x:c r="I2" s="13" t="str">
        <x:v>REMET.MODA MUNDIAL BRASIL</x:v>
      </x:c>
      <x:c r="J2" s="15" t="n">
        <x:v>5072.99</x:v>
      </x:c>
      <x:c r="K2" s="15" t="n">
        <x:v>0</x:v>
      </x:c>
      <x:c r="L2" s="13" t="n">
        <x:v>0</x:v>
      </x:c>
      <x:c r="M2" s="13" t="str">
        <x:v>Conciliado por valor exato</x:v>
      </x:c>
    </x:row>
  </x:sheetData>
  <x:pageMargins left="0.7" right="0.7" top="0.75" bottom="0.75" header="0.3" footer="0.3"/>
  <x:tableParts count="1">
    <x:tablePart xmlns:r="http://schemas.openxmlformats.org/officeDocument/2006/relationships" r:id="Rfb757bb2345e4d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4.4399995803833" hidden="0" customWidth="1"/>
    <x:col min="4" max="4" width="14.890000343322754" hidden="0" customWidth="1"/>
    <x:col min="5" max="5" width="22" hidden="0" customWidth="1"/>
    <x:col min="6" max="6" width="11.4399995803833" hidden="0" customWidth="1"/>
    <x:col min="7" max="7" width="32" hidden="0" customWidth="1"/>
  </x:cols>
  <x:sheetData>
    <x:row r="1" ht="15" hidden="0" customHeight="1">
      <x:c r="A1" s="20" t="str">
        <x:v>Pedido Shein</x:v>
      </x:c>
      <x:c r="B1" s="20" t="str">
        <x:v>Grupo retirada</x:v>
      </x:c>
      <x:c r="C1" s="20" t="str">
        <x:v>Tempo retirada</x:v>
      </x:c>
      <x:c r="D1" s="20" t="str">
        <x:v>Tempo sucesso</x:v>
      </x:c>
      <x:c r="E1" s="20" t="str">
        <x:v>Status Shein</x:v>
      </x:c>
      <x:c r="F1" s="20" t="str">
        <x:v>Valor Shein</x:v>
      </x:c>
      <x:c r="G1" s="20" t="str">
        <x:v>Situacao</x:v>
      </x:c>
    </x:row>
    <x:row r="2" ht="15" hidden="0" customHeight="1">
      <x:c r="A2" s="21" t="str">
        <x:v>CW2607273174597787661</x:v>
      </x:c>
      <x:c r="B2" s="21" t="str">
        <x:v>W2607273174598295554</x:v>
      </x:c>
      <x:c r="C2" s="22" t="n">
        <x:v>46230.21417824074</x:v>
      </x:c>
      <x:c r="D2" s="22" t="n">
        <x:v>46230.723275462966</x:v>
      </x:c>
      <x:c r="E2" s="21" t="str">
        <x:v>Retirada bem -sucedida</x:v>
      </x:c>
      <x:c r="F2" s="23" t="n">
        <x:v>60.15</x:v>
      </x:c>
      <x:c r="G2" s="21" t="str">
        <x:v>A receber - nao localizado no extrato</x:v>
      </x:c>
    </x:row>
    <x:row r="3" ht="15" hidden="0" customHeight="1">
      <x:c r="A3" s="21" t="str">
        <x:v>CW2607273174597787660</x:v>
      </x:c>
      <x:c r="B3" s="21" t="str">
        <x:v>W2607273174598295554</x:v>
      </x:c>
      <x:c r="C3" s="22" t="n">
        <x:v>46230.21417824074</x:v>
      </x:c>
      <x:c r="D3" s="22" t="n">
        <x:v>46230.72329861111</x:v>
      </x:c>
      <x:c r="E3" s="21" t="str">
        <x:v>Retirada bem -sucedida</x:v>
      </x:c>
      <x:c r="F3" s="23" t="n">
        <x:v>11.26</x:v>
      </x:c>
      <x:c r="G3" s="21" t="str">
        <x:v>A receber - nao localizado no extrato</x:v>
      </x:c>
    </x:row>
    <x:row r="4" ht="15" hidden="0" customHeight="1">
      <x:c r="A4" s="21" t="str">
        <x:v>CW2607273174597787662</x:v>
      </x:c>
      <x:c r="B4" s="21" t="str">
        <x:v>W2607273174598295554</x:v>
      </x:c>
      <x:c r="C4" s="22" t="n">
        <x:v>46230.21417824074</x:v>
      </x:c>
      <x:c r="D4" s="22" t="n">
        <x:v>46231.60061342592</x:v>
      </x:c>
      <x:c r="E4" s="21" t="str">
        <x:v>Retirada bem -sucedida</x:v>
      </x:c>
      <x:c r="F4" s="23" t="n">
        <x:v>2277.51</x:v>
      </x:c>
      <x:c r="G4" s="21" t="str">
        <x:v>A receber - nao localizado no extrato</x:v>
      </x:c>
    </x:row>
    <x:row r="5" ht="15" hidden="0" customHeight="1">
      <x:c r="A5" s="13" t="str">
        <x:v>CW2607273174597787659</x:v>
      </x:c>
      <x:c r="B5" s="13" t="str">
        <x:v>W2607273174598295554</x:v>
      </x:c>
      <x:c r="C5" s="14" t="n">
        <x:v>46230.21417824074</x:v>
      </x:c>
      <x:c r="D5" s="14" t="n">
        <x:v>46231.600798611114</x:v>
      </x:c>
      <x:c r="E5" s="13" t="str">
        <x:v>Retirada bem -sucedida</x:v>
      </x:c>
      <x:c r="F5" s="15" t="n">
        <x:v>566.9</x:v>
      </x:c>
      <x:c r="G5" s="13" t="str">
        <x:v>A receber - nao localizado no extrato</x:v>
      </x:c>
    </x:row>
  </x:sheetData>
  <x:pageMargins left="0.7" right="0.7" top="0.75" bottom="0.75" header="0.3" footer="0.3"/>
  <x:tableParts count="1">
    <x:tablePart xmlns:r="http://schemas.openxmlformats.org/officeDocument/2006/relationships" r:id="R5a39a280fd424a6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1.779999732971191" hidden="0" customWidth="1"/>
    <x:col min="3" max="3" width="26" hidden="0" customWidth="1"/>
    <x:col min="4" max="4" width="34" hidden="0" customWidth="1"/>
    <x:col min="5" max="5" width="8.4399995803833" hidden="0" customWidth="1"/>
    <x:col min="6" max="6" width="11.329999923706055" hidden="0" customWidth="1"/>
    <x:col min="7" max="7" width="36" hidden="0" customWidth="1"/>
    <x:col min="8" max="8" width="42" hidden="0" customWidth="1"/>
  </x:cols>
  <x:sheetData>
    <x:row r="1" ht="15" hidden="0" customHeight="1">
      <x:c r="A1" s="27" t="str">
        <x:v>Data banco</x:v>
      </x:c>
      <x:c r="B1" s="27" t="str">
        <x:v>Documento</x:v>
      </x:c>
      <x:c r="C1" s="27" t="str">
        <x:v>Lancamento</x:v>
      </x:c>
      <x:c r="D1" s="27" t="str">
        <x:v>Detalhe</x:v>
      </x:c>
      <x:c r="E1" s="27" t="str">
        <x:v>Credito</x:v>
      </x:c>
      <x:c r="F1" s="27" t="str">
        <x:v>Saldo apos</x:v>
      </x:c>
      <x:c r="G1" s="27" t="str">
        <x:v>Situacao</x:v>
      </x:c>
      <x:c r="H1" s="27" t="str">
        <x:v>Linha original</x:v>
      </x:c>
    </x:row>
    <x:row r="2" ht="15" hidden="0" customHeight="1">
      <x:c r="A2" s="28"/>
      <x:c r="B2" s="21" t="str">
        <x:v>00280</x:v>
      </x:c>
      <x:c r="C2" s="21" t="str">
        <x:v>Agência | Conta Total Disponível (R$) Total (R$)</x:v>
      </x:c>
      <x:c r="D2" s="21" t="str">
        <x:v>Extrato de: Ag: 00280 | CC: 0039919-1</x:v>
      </x:c>
      <x:c r="E2" s="23" t="n">
        <x:v>586.76</x:v>
      </x:c>
      <x:c r="F2" s="23" t="n">
        <x:v>586.76</x:v>
      </x:c>
      <x:c r="G2" s="21" t="str">
        <x:v>Credito bancario sem item Shein correspondente</x:v>
      </x:c>
      <x:c r="H2" s="21" t="str">
        <x:v>00280 | 0039919-1 586,76 586,76</x:v>
      </x:c>
    </x:row>
    <x:row r="3" ht="15" hidden="0" customHeight="1">
      <x:c r="A3" s="28" t="n">
        <x:v>46227</x:v>
      </x:c>
      <x:c r="B3" s="21" t="str">
        <x:v>39919</x:v>
      </x:c>
      <x:c r="C3" s="21" t="str">
        <x:v>BAIXA AUTOMAT POUPANCA*</x:v>
      </x:c>
      <x:c r="D3" s="21" t="str">
        <x:v>TED-TRANSF ELET DISPON</x:v>
      </x:c>
      <x:c r="E3" s="23" t="n">
        <x:v>2800.27</x:v>
      </x:c>
      <x:c r="F3" s="23" t="n">
        <x:v>1</x:v>
      </x:c>
      <x:c r="G3" s="21" t="str">
        <x:v>Credito bancario sem item Shein correspondente</x:v>
      </x:c>
      <x:c r="H3" s="21" t="str">
        <x:v>BAIXA AUTOMAT POUPANCA* 39919 2.800,27 1,00</x:v>
      </x:c>
    </x:row>
    <x:row r="4" ht="15" hidden="0" customHeight="1">
      <x:c r="A4" s="28" t="n">
        <x:v>46230</x:v>
      </x:c>
      <x:c r="B4" s="21" t="str">
        <x:v>47484</x:v>
      </x:c>
      <x:c r="C4" s="21" t="str">
        <x:v>PIX RECEBIDO</x:v>
      </x:c>
      <x:c r="D4" s="21" t="str">
        <x:v>REM: PIPO BRASIL INSTITUIC 27/07</x:v>
      </x:c>
      <x:c r="E4" s="23" t="n">
        <x:v>205.94</x:v>
      </x:c>
      <x:c r="F4" s="23" t="n">
        <x:v>5279.93</x:v>
      </x:c>
      <x:c r="G4" s="21" t="str">
        <x:v>Credito bancario sem item Shein correspondente</x:v>
      </x:c>
      <x:c r="H4" s="21" t="str">
        <x:v>47484 205,94 5.279,93</x:v>
      </x:c>
    </x:row>
    <x:row r="5" ht="15" hidden="0" customHeight="1">
      <x:c r="A5" s="28" t="n">
        <x:v>46230</x:v>
      </x:c>
      <x:c r="B5" s="21" t="str">
        <x:v>49264</x:v>
      </x:c>
      <x:c r="C5" s="21" t="str">
        <x:v>PIX RECEBIDO</x:v>
      </x:c>
      <x:c r="D5" s="21" t="str">
        <x:v>REM: PIPO BRASIL INSTITUIC 26/07</x:v>
      </x:c>
      <x:c r="E5" s="23" t="n">
        <x:v>138.39</x:v>
      </x:c>
      <x:c r="F5" s="23" t="n">
        <x:v>5418.32</x:v>
      </x:c>
      <x:c r="G5" s="21" t="str">
        <x:v>Credito bancario sem item Shein correspondente</x:v>
      </x:c>
      <x:c r="H5" s="21" t="str">
        <x:v>49264 138,39 5.418,32</x:v>
      </x:c>
    </x:row>
    <x:row r="6" ht="15" hidden="0" customHeight="1">
      <x:c r="A6" s="28" t="n">
        <x:v>46230</x:v>
      </x:c>
      <x:c r="B6" s="21" t="str">
        <x:v>403344</x:v>
      </x:c>
      <x:c r="C6" s="21" t="str">
        <x:v>PIX RECEBIDO</x:v>
      </x:c>
      <x:c r="D6" s="21" t="str">
        <x:v>REM: PIPO BRASIL INSTITUIC 25/07</x:v>
      </x:c>
      <x:c r="E6" s="23" t="n">
        <x:v>95.98</x:v>
      </x:c>
      <x:c r="F6" s="23" t="n">
        <x:v>5514.3</x:v>
      </x:c>
      <x:c r="G6" s="21" t="str">
        <x:v>Credito bancario sem item Shein correspondente</x:v>
      </x:c>
      <x:c r="H6" s="21" t="str">
        <x:v>403344 95,98 5.514,30</x:v>
      </x:c>
    </x:row>
    <x:row r="7" ht="15" hidden="0" customHeight="1">
      <x:c r="A7" s="28" t="n">
        <x:v>46231</x:v>
      </x:c>
      <x:c r="B7" s="21" t="str">
        <x:v>526180</x:v>
      </x:c>
      <x:c r="C7" s="21" t="str">
        <x:v>PIX RECEBIDO</x:v>
      </x:c>
      <x:c r="D7" s="21" t="str">
        <x:v>REM: PIPO BRASIL INSTITUIC 28/07</x:v>
      </x:c>
      <x:c r="E7" s="23" t="n">
        <x:v>53.4</x:v>
      </x:c>
      <x:c r="F7" s="23" t="n">
        <x:v>5517.7</x:v>
      </x:c>
      <x:c r="G7" s="21" t="str">
        <x:v>Credito bancario sem item Shein correspondente</x:v>
      </x:c>
      <x:c r="H7" s="21" t="str">
        <x:v>28/07/2026 526180 53,40 5.517,70</x:v>
      </x:c>
    </x:row>
    <x:row r="8" ht="15" hidden="0" customHeight="1">
      <x:c r="A8" s="28" t="n">
        <x:v>46231</x:v>
      </x:c>
      <x:c r="B8" s="21" t="str">
        <x:v>1135123</x:v>
      </x:c>
      <x:c r="C8" s="21" t="str">
        <x:v>PIX RECEBIDO</x:v>
      </x:c>
      <x:c r="D8" s="21" t="str">
        <x:v>REM: MAREE INSTITUICAO DE 28/07</x:v>
      </x:c>
      <x:c r="E8" s="23" t="n">
        <x:v>19897.55</x:v>
      </x:c>
      <x:c r="F8" s="23" t="n">
        <x:v>25415.25</x:v>
      </x:c>
      <x:c r="G8" s="21" t="str">
        <x:v>Credito bancario sem item Shein correspondente</x:v>
      </x:c>
      <x:c r="H8" s="21" t="str">
        <x:v>1135123 19.897,55 25.415,25</x:v>
      </x:c>
    </x:row>
    <x:row r="9" ht="15" hidden="0" customHeight="1">
      <x:c r="A9" s="16" t="n">
        <x:v>46231</x:v>
      </x:c>
      <x:c r="B9" s="13" t="str">
        <x:v>1257285</x:v>
      </x:c>
      <x:c r="C9" s="13" t="str">
        <x:v>PIX RECEBIDO</x:v>
      </x:c>
      <x:c r="D9" s="13" t="str">
        <x:v>REM: JM MULTIMARCAS COMERC 28/07</x:v>
      </x:c>
      <x:c r="E9" s="15" t="n">
        <x:v>6500</x:v>
      </x:c>
      <x:c r="F9" s="15" t="n">
        <x:v>17558.73</x:v>
      </x:c>
      <x:c r="G9" s="13" t="str">
        <x:v>Credito bancario sem item Shein correspondente</x:v>
      </x:c>
      <x:c r="H9" s="13" t="str">
        <x:v>1257285 6.500,00 17.558,73</x:v>
      </x:c>
    </x:row>
  </x:sheetData>
  <x:pageMargins left="0.7" right="0.7" top="0.75" bottom="0.75" header="0.3" footer="0.3"/>
  <x:tableParts count="1">
    <x:tablePart xmlns:r="http://schemas.openxmlformats.org/officeDocument/2006/relationships" r:id="Rf3e552c33733434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4.4399995803833" hidden="0" customWidth="1"/>
    <x:col min="4" max="4" width="14.890000343322754" hidden="0" customWidth="1"/>
    <x:col min="5" max="5" width="22" hidden="0" customWidth="1"/>
    <x:col min="6" max="6" width="13.890000343322754" hidden="0" customWidth="1"/>
    <x:col min="7" max="7" width="12.329999923706055" hidden="0" customWidth="1"/>
    <x:col min="8" max="8" width="6.329999923706055" hidden="0" customWidth="1"/>
    <x:col min="9" max="9" width="8.109999656677246" hidden="0" customWidth="1"/>
  </x:cols>
  <x:sheetData>
    <x:row r="1" ht="15" hidden="0" customHeight="1">
      <x:c r="A1" s="32" t="str">
        <x:v>Pedido Shein</x:v>
      </x:c>
      <x:c r="B1" s="32" t="str">
        <x:v>Grupo retirada</x:v>
      </x:c>
      <x:c r="C1" s="32" t="str">
        <x:v>Tempo retirada</x:v>
      </x:c>
      <x:c r="D1" s="32" t="str">
        <x:v>Tempo sucesso</x:v>
      </x:c>
      <x:c r="E1" s="32" t="str">
        <x:v>Status</x:v>
      </x:c>
      <x:c r="F1" s="32" t="str">
        <x:v>Valor recebido</x:v>
      </x:c>
      <x:c r="G1" s="32" t="str">
        <x:v>Valor liquido</x:v>
      </x:c>
      <x:c r="H1" s="32" t="str">
        <x:v>Taxa</x:v>
      </x:c>
      <x:c r="I1" s="32" t="str">
        <x:v>Moeda</x:v>
      </x:c>
    </x:row>
    <x:row r="2" ht="15" hidden="0" customHeight="1">
      <x:c r="A2" s="21" t="str">
        <x:v>CW2607273174597787662</x:v>
      </x:c>
      <x:c r="B2" s="21" t="str">
        <x:v>W2607273174598295554</x:v>
      </x:c>
      <x:c r="C2" s="22" t="n">
        <x:v>46230.21417824074</x:v>
      </x:c>
      <x:c r="D2" s="22" t="n">
        <x:v>46231.60061342592</x:v>
      </x:c>
      <x:c r="E2" s="21" t="str">
        <x:v>Retirada bem -sucedida</x:v>
      </x:c>
      <x:c r="F2" s="23" t="n">
        <x:v>2277.51</x:v>
      </x:c>
      <x:c r="G2" s="23" t="n">
        <x:v>2277.51</x:v>
      </x:c>
      <x:c r="H2" s="23" t="n">
        <x:v>0</x:v>
      </x:c>
      <x:c r="I2" s="21" t="str">
        <x:v>BRL</x:v>
      </x:c>
    </x:row>
    <x:row r="3" ht="15" hidden="0" customHeight="1">
      <x:c r="A3" s="21" t="str">
        <x:v>CW2607273174597787661</x:v>
      </x:c>
      <x:c r="B3" s="21" t="str">
        <x:v>W2607273174598295554</x:v>
      </x:c>
      <x:c r="C3" s="22" t="n">
        <x:v>46230.21417824074</x:v>
      </x:c>
      <x:c r="D3" s="22" t="n">
        <x:v>46230.723275462966</x:v>
      </x:c>
      <x:c r="E3" s="21" t="str">
        <x:v>Retirada bem -sucedida</x:v>
      </x:c>
      <x:c r="F3" s="23" t="n">
        <x:v>60.15</x:v>
      </x:c>
      <x:c r="G3" s="23" t="n">
        <x:v>60.15</x:v>
      </x:c>
      <x:c r="H3" s="23" t="n">
        <x:v>0</x:v>
      </x:c>
      <x:c r="I3" s="21" t="str">
        <x:v>BRL</x:v>
      </x:c>
    </x:row>
    <x:row r="4" ht="15" hidden="0" customHeight="1">
      <x:c r="A4" s="21" t="str">
        <x:v>CW2607273174597787660</x:v>
      </x:c>
      <x:c r="B4" s="21" t="str">
        <x:v>W2607273174598295554</x:v>
      </x:c>
      <x:c r="C4" s="22" t="n">
        <x:v>46230.21417824074</x:v>
      </x:c>
      <x:c r="D4" s="22" t="n">
        <x:v>46230.72329861111</x:v>
      </x:c>
      <x:c r="E4" s="21" t="str">
        <x:v>Retirada bem -sucedida</x:v>
      </x:c>
      <x:c r="F4" s="23" t="n">
        <x:v>11.26</x:v>
      </x:c>
      <x:c r="G4" s="23" t="n">
        <x:v>11.26</x:v>
      </x:c>
      <x:c r="H4" s="23" t="n">
        <x:v>0</x:v>
      </x:c>
      <x:c r="I4" s="21" t="str">
        <x:v>BRL</x:v>
      </x:c>
    </x:row>
    <x:row r="5" ht="15" hidden="0" customHeight="1">
      <x:c r="A5" s="21" t="str">
        <x:v>CW2607273174597787659</x:v>
      </x:c>
      <x:c r="B5" s="21" t="str">
        <x:v>W2607273174598295554</x:v>
      </x:c>
      <x:c r="C5" s="22" t="n">
        <x:v>46230.21417824074</x:v>
      </x:c>
      <x:c r="D5" s="22" t="n">
        <x:v>46231.600798611114</x:v>
      </x:c>
      <x:c r="E5" s="21" t="str">
        <x:v>Retirada bem -sucedida</x:v>
      </x:c>
      <x:c r="F5" s="23" t="n">
        <x:v>566.9</x:v>
      </x:c>
      <x:c r="G5" s="23" t="n">
        <x:v>566.9</x:v>
      </x:c>
      <x:c r="H5" s="23" t="n">
        <x:v>0</x:v>
      </x:c>
      <x:c r="I5" s="21" t="str">
        <x:v>BRL</x:v>
      </x:c>
    </x:row>
    <x:row r="6" ht="15" hidden="0" customHeight="1">
      <x:c r="A6" s="13" t="str">
        <x:v>CW2607273174597787658</x:v>
      </x:c>
      <x:c r="B6" s="13" t="str">
        <x:v>W2607273174598295554</x:v>
      </x:c>
      <x:c r="C6" s="14" t="n">
        <x:v>46230.21417824074</x:v>
      </x:c>
      <x:c r="D6" s="14" t="n">
        <x:v>46230.496145833335</x:v>
      </x:c>
      <x:c r="E6" s="13" t="str">
        <x:v>Retirada bem -sucedida</x:v>
      </x:c>
      <x:c r="F6" s="15" t="n">
        <x:v>5072.99</x:v>
      </x:c>
      <x:c r="G6" s="15" t="n">
        <x:v>5072.99</x:v>
      </x:c>
      <x:c r="H6" s="15" t="n">
        <x:v>0</x:v>
      </x:c>
      <x:c r="I6" s="13" t="str">
        <x:v>BRL</x:v>
      </x:c>
    </x:row>
  </x:sheetData>
  <x:pageMargins left="0.7" right="0.7" top="0.75" bottom="0.75" header="0.3" footer="0.3"/>
  <x:tableParts count="1">
    <x:tablePart xmlns:r="http://schemas.openxmlformats.org/officeDocument/2006/relationships" r:id="R510963b3f2e94c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.779999732971191" hidden="0" customWidth="1"/>
    <x:col min="3" max="3" width="26" hidden="0" customWidth="1"/>
    <x:col min="4" max="4" width="34" hidden="0" customWidth="1"/>
    <x:col min="5" max="5" width="8.4399995803833" hidden="0" customWidth="1"/>
    <x:col min="6" max="6" width="11.329999923706055" hidden="0" customWidth="1"/>
    <x:col min="7" max="7" width="42" hidden="0" customWidth="1"/>
  </x:cols>
  <x:sheetData>
    <x:row r="1" ht="15" hidden="0" customHeight="1">
      <x:c r="A1" s="36" t="str">
        <x:v>Data</x:v>
      </x:c>
      <x:c r="B1" s="36" t="str">
        <x:v>Documento</x:v>
      </x:c>
      <x:c r="C1" s="36" t="str">
        <x:v>Lancamento</x:v>
      </x:c>
      <x:c r="D1" s="36" t="str">
        <x:v>Detalhe</x:v>
      </x:c>
      <x:c r="E1" s="36" t="str">
        <x:v>Credito</x:v>
      </x:c>
      <x:c r="F1" s="36" t="str">
        <x:v>Saldo apos</x:v>
      </x:c>
      <x:c r="G1" s="36" t="str">
        <x:v>Linha original</x:v>
      </x:c>
    </x:row>
    <x:row r="2" ht="15" hidden="0" customHeight="1">
      <x:c r="A2" s="28"/>
      <x:c r="B2" s="21" t="str">
        <x:v>00280</x:v>
      </x:c>
      <x:c r="C2" s="21" t="str">
        <x:v>Agência | Conta Total Disponível (R$) Total (R$)</x:v>
      </x:c>
      <x:c r="D2" s="21" t="str">
        <x:v>Extrato de: Ag: 00280 | CC: 0039919-1</x:v>
      </x:c>
      <x:c r="E2" s="23" t="n">
        <x:v>586.76</x:v>
      </x:c>
      <x:c r="F2" s="23" t="n">
        <x:v>586.76</x:v>
      </x:c>
      <x:c r="G2" s="21" t="str">
        <x:v>00280 | 0039919-1 586,76 586,76</x:v>
      </x:c>
    </x:row>
    <x:row r="3" ht="15" hidden="0" customHeight="1">
      <x:c r="A3" s="28" t="n">
        <x:v>46227</x:v>
      </x:c>
      <x:c r="B3" s="21" t="str">
        <x:v>39919</x:v>
      </x:c>
      <x:c r="C3" s="21" t="str">
        <x:v>BAIXA AUTOMAT POUPANCA*</x:v>
      </x:c>
      <x:c r="D3" s="21" t="str">
        <x:v>TED-TRANSF ELET DISPON</x:v>
      </x:c>
      <x:c r="E3" s="23" t="n">
        <x:v>2800.27</x:v>
      </x:c>
      <x:c r="F3" s="23" t="n">
        <x:v>1</x:v>
      </x:c>
      <x:c r="G3" s="21" t="str">
        <x:v>BAIXA AUTOMAT POUPANCA* 39919 2.800,27 1,00</x:v>
      </x:c>
    </x:row>
    <x:row r="4" ht="15" hidden="0" customHeight="1">
      <x:c r="A4" s="28" t="n">
        <x:v>46230</x:v>
      </x:c>
      <x:c r="B4" s="21" t="str">
        <x:v>2563218</x:v>
      </x:c>
      <x:c r="C4" s="21" t="str">
        <x:v>TED-TRANSF ELET DISPON</x:v>
      </x:c>
      <x:c r="D4" s="21" t="str">
        <x:v>REMET.MODA MUNDIAL BRASIL</x:v>
      </x:c>
      <x:c r="E4" s="23" t="n">
        <x:v>5072.99</x:v>
      </x:c>
      <x:c r="F4" s="23" t="n">
        <x:v>5073.99</x:v>
      </x:c>
      <x:c r="G4" s="21" t="str">
        <x:v>27/07/2026 2563218 5.072,99 5.073,99</x:v>
      </x:c>
    </x:row>
    <x:row r="5" ht="15" hidden="0" customHeight="1">
      <x:c r="A5" s="28" t="n">
        <x:v>46230</x:v>
      </x:c>
      <x:c r="B5" s="21" t="str">
        <x:v>47484</x:v>
      </x:c>
      <x:c r="C5" s="21" t="str">
        <x:v>PIX RECEBIDO</x:v>
      </x:c>
      <x:c r="D5" s="21" t="str">
        <x:v>REM: PIPO BRASIL INSTITUIC 27/07</x:v>
      </x:c>
      <x:c r="E5" s="23" t="n">
        <x:v>205.94</x:v>
      </x:c>
      <x:c r="F5" s="23" t="n">
        <x:v>5279.93</x:v>
      </x:c>
      <x:c r="G5" s="21" t="str">
        <x:v>47484 205,94 5.279,93</x:v>
      </x:c>
    </x:row>
    <x:row r="6" ht="15" hidden="0" customHeight="1">
      <x:c r="A6" s="28" t="n">
        <x:v>46230</x:v>
      </x:c>
      <x:c r="B6" s="21" t="str">
        <x:v>49264</x:v>
      </x:c>
      <x:c r="C6" s="21" t="str">
        <x:v>PIX RECEBIDO</x:v>
      </x:c>
      <x:c r="D6" s="21" t="str">
        <x:v>REM: PIPO BRASIL INSTITUIC 26/07</x:v>
      </x:c>
      <x:c r="E6" s="23" t="n">
        <x:v>138.39</x:v>
      </x:c>
      <x:c r="F6" s="23" t="n">
        <x:v>5418.32</x:v>
      </x:c>
      <x:c r="G6" s="21" t="str">
        <x:v>49264 138,39 5.418,32</x:v>
      </x:c>
    </x:row>
    <x:row r="7" ht="15" hidden="0" customHeight="1">
      <x:c r="A7" s="28" t="n">
        <x:v>46230</x:v>
      </x:c>
      <x:c r="B7" s="21" t="str">
        <x:v>403344</x:v>
      </x:c>
      <x:c r="C7" s="21" t="str">
        <x:v>PIX RECEBIDO</x:v>
      </x:c>
      <x:c r="D7" s="21" t="str">
        <x:v>REM: PIPO BRASIL INSTITUIC 25/07</x:v>
      </x:c>
      <x:c r="E7" s="23" t="n">
        <x:v>95.98</x:v>
      </x:c>
      <x:c r="F7" s="23" t="n">
        <x:v>5514.3</x:v>
      </x:c>
      <x:c r="G7" s="21" t="str">
        <x:v>403344 95,98 5.514,30</x:v>
      </x:c>
    </x:row>
    <x:row r="8" ht="15" hidden="0" customHeight="1">
      <x:c r="A8" s="28" t="n">
        <x:v>46231</x:v>
      </x:c>
      <x:c r="B8" s="21" t="str">
        <x:v>526180</x:v>
      </x:c>
      <x:c r="C8" s="21" t="str">
        <x:v>PIX RECEBIDO</x:v>
      </x:c>
      <x:c r="D8" s="21" t="str">
        <x:v>REM: PIPO BRASIL INSTITUIC 28/07</x:v>
      </x:c>
      <x:c r="E8" s="23" t="n">
        <x:v>53.4</x:v>
      </x:c>
      <x:c r="F8" s="23" t="n">
        <x:v>5517.7</x:v>
      </x:c>
      <x:c r="G8" s="21" t="str">
        <x:v>28/07/2026 526180 53,40 5.517,70</x:v>
      </x:c>
    </x:row>
    <x:row r="9" ht="15" hidden="0" customHeight="1">
      <x:c r="A9" s="28" t="n">
        <x:v>46231</x:v>
      </x:c>
      <x:c r="B9" s="21" t="str">
        <x:v>1135123</x:v>
      </x:c>
      <x:c r="C9" s="21" t="str">
        <x:v>PIX RECEBIDO</x:v>
      </x:c>
      <x:c r="D9" s="21" t="str">
        <x:v>REM: MAREE INSTITUICAO DE 28/07</x:v>
      </x:c>
      <x:c r="E9" s="23" t="n">
        <x:v>19897.55</x:v>
      </x:c>
      <x:c r="F9" s="23" t="n">
        <x:v>25415.25</x:v>
      </x:c>
      <x:c r="G9" s="21" t="str">
        <x:v>1135123 19.897,55 25.415,25</x:v>
      </x:c>
    </x:row>
    <x:row r="10" ht="15" hidden="0" customHeight="1">
      <x:c r="A10" s="16" t="n">
        <x:v>46231</x:v>
      </x:c>
      <x:c r="B10" s="13" t="str">
        <x:v>1257285</x:v>
      </x:c>
      <x:c r="C10" s="13" t="str">
        <x:v>PIX RECEBIDO</x:v>
      </x:c>
      <x:c r="D10" s="13" t="str">
        <x:v>REM: JM MULTIMARCAS COMERC 28/07</x:v>
      </x:c>
      <x:c r="E10" s="15" t="n">
        <x:v>6500</x:v>
      </x:c>
      <x:c r="F10" s="15" t="n">
        <x:v>17558.73</x:v>
      </x:c>
      <x:c r="G10" s="13" t="str">
        <x:v>1257285 6.500,00 17.558,73</x:v>
      </x:c>
    </x:row>
  </x:sheetData>
  <x:pageMargins left="0.7" right="0.7" top="0.75" bottom="0.75" header="0.3" footer="0.3"/>
  <x:tableParts count="1">
    <x:tablePart xmlns:r="http://schemas.openxmlformats.org/officeDocument/2006/relationships" r:id="Rcd6e3440427745ff"/>
  </x:tableParts>
</x:worksheet>
</file>